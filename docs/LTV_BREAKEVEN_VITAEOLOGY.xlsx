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TV per Lead" sheetId="1" state="visible" r:id="rId3"/>
    <sheet name="Proiezione 1000 Lead" sheetId="2" state="visible" r:id="rId4"/>
    <sheet name="Confronto Scenar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<sst xmlns="http://schemas.openxmlformats.org/spreadsheetml/2006/main" count="105" uniqueCount="104">
  <si>
    <t xml:space="preserve">VITAEOLOGY - MODELLO LTV &amp; BREAK-EVEN ADS</t>
  </si>
  <si>
    <t xml:space="preserve">Value Ladder Completa: L1 (€0) → L8 (€9.997)</t>
  </si>
  <si>
    <t xml:space="preserve">DATI INPUT (Value Ladder)</t>
  </si>
  <si>
    <t xml:space="preserve">Livello</t>
  </si>
  <si>
    <t xml:space="preserve">Prezzo Medio</t>
  </si>
  <si>
    <t xml:space="preserve">Conv. Conservativa</t>
  </si>
  <si>
    <t xml:space="preserve">Conv. Realistica</t>
  </si>
  <si>
    <t xml:space="preserve">Conv. Ottimistica</t>
  </si>
  <si>
    <t xml:space="preserve">L1 → L2 (Challenge→Libro)</t>
  </si>
  <si>
    <t xml:space="preserve">L2 → L3 (Libro→Leader)</t>
  </si>
  <si>
    <t xml:space="preserve">L3 → L4 (Leader→Mentor)</t>
  </si>
  <si>
    <t xml:space="preserve">L4 → L5 (Mentor→Coaching)</t>
  </si>
  <si>
    <t xml:space="preserve">⚡ Prezzo L2 = media ponderata ebook €9,90 + fisico €24,90</t>
  </si>
  <si>
    <t xml:space="preserve">⚡ Prezzo L5 = media €997 e €1.997</t>
  </si>
  <si>
    <t xml:space="preserve">CALCOLO LTV PER SINGOLO LEAD (Anno 1)</t>
  </si>
  <si>
    <t xml:space="preserve">Componente Revenue</t>
  </si>
  <si>
    <t xml:space="preserve">Formula</t>
  </si>
  <si>
    <t xml:space="preserve">Conservativo</t>
  </si>
  <si>
    <t xml:space="preserve">Realistico</t>
  </si>
  <si>
    <t xml:space="preserve">Ottimistico</t>
  </si>
  <si>
    <t xml:space="preserve">Revenue L2 (Libro)</t>
  </si>
  <si>
    <t xml:space="preserve">Conv × Prezzo</t>
  </si>
  <si>
    <t xml:space="preserve">Revenue L3 (Leader)</t>
  </si>
  <si>
    <t xml:space="preserve">C₁×C₂ × Prezzo</t>
  </si>
  <si>
    <t xml:space="preserve">Revenue L4 (Mentor)</t>
  </si>
  <si>
    <t xml:space="preserve">C₁×C₂×C₃ × Prezzo</t>
  </si>
  <si>
    <t xml:space="preserve">Revenue L5 (Coaching)</t>
  </si>
  <si>
    <t xml:space="preserve">C₁×C₂×C₃×C₄ × Prezzo</t>
  </si>
  <si>
    <t xml:space="preserve">🎯 LTV ANNO 1 PER LEAD</t>
  </si>
  <si>
    <t xml:space="preserve">Somma</t>
  </si>
  <si>
    <t xml:space="preserve">RETENTION E LTV MULTI-ANNO (3 Anni)</t>
  </si>
  <si>
    <t xml:space="preserve">Retention L3 Anno 2</t>
  </si>
  <si>
    <t xml:space="preserve">Retention L3 Anno 3</t>
  </si>
  <si>
    <t xml:space="preserve">Retention L4 Anno 2</t>
  </si>
  <si>
    <t xml:space="preserve">Retention L4 Anno 3</t>
  </si>
  <si>
    <t xml:space="preserve">LTV Addizionale Anno 2</t>
  </si>
  <si>
    <t xml:space="preserve">LTV Addizionale Anno 3</t>
  </si>
  <si>
    <t xml:space="preserve">🏆 LTV TOTALE 3 ANNI PER LEAD</t>
  </si>
  <si>
    <t xml:space="preserve">BREAK-EVEN ADS</t>
  </si>
  <si>
    <t xml:space="preserve">CPL Break-Even (Anno 1)</t>
  </si>
  <si>
    <t xml:space="preserve">LTV Anno 1</t>
  </si>
  <si>
    <t xml:space="preserve">CPL Break-Even (3 Anni)</t>
  </si>
  <si>
    <t xml:space="preserve">LTV 3 Anni</t>
  </si>
  <si>
    <t xml:space="preserve">✅ CPL Target Operativo (margine 50%)</t>
  </si>
  <si>
    <t xml:space="preserve">BE Anno 1 × 50%</t>
  </si>
  <si>
    <t xml:space="preserve">PROIEZIONE SU 1.000 LEAD - SCENARIO REALISTICO</t>
  </si>
  <si>
    <t xml:space="preserve">Lead acquisiti</t>
  </si>
  <si>
    <t xml:space="preserve">CPL medio</t>
  </si>
  <si>
    <t xml:space="preserve">Budget ADS totale</t>
  </si>
  <si>
    <t xml:space="preserve">Livello Funnel</t>
  </si>
  <si>
    <t xml:space="preserve">Persone</t>
  </si>
  <si>
    <t xml:space="preserve">Conversione</t>
  </si>
  <si>
    <t xml:space="preserve">Revenue Unitaria</t>
  </si>
  <si>
    <t xml:space="preserve">Revenue Totale</t>
  </si>
  <si>
    <t xml:space="preserve">L1 - Challenge (Lead)</t>
  </si>
  <si>
    <t xml:space="preserve">-</t>
  </si>
  <si>
    <t xml:space="preserve">L2 - Libro acquistato</t>
  </si>
  <si>
    <t xml:space="preserve">L3 - Leader (Abb. annuale)</t>
  </si>
  <si>
    <t xml:space="preserve">L4 - Mentor (Abb. premium)</t>
  </si>
  <si>
    <t xml:space="preserve">L5 - Coaching 1:1</t>
  </si>
  <si>
    <t xml:space="preserve">REVENUE TOTALE ANNO 1</t>
  </si>
  <si>
    <t xml:space="preserve">COSTO ADS</t>
  </si>
  <si>
    <t xml:space="preserve">PROFITTO NETTO</t>
  </si>
  <si>
    <t xml:space="preserve">ROI</t>
  </si>
  <si>
    <t xml:space="preserve">CONFRONTO SCENARI - DECISIONI ADS</t>
  </si>
  <si>
    <t xml:space="preserve">Metrica Decisionale</t>
  </si>
  <si>
    <t xml:space="preserve">🔴 Conservativo</t>
  </si>
  <si>
    <t xml:space="preserve">🟡 Realistico</t>
  </si>
  <si>
    <t xml:space="preserve">🟢 Ottimistico</t>
  </si>
  <si>
    <t xml:space="preserve">LTV Anno 1 per lead</t>
  </si>
  <si>
    <t xml:space="preserve">LTV 3 Anni per lead</t>
  </si>
  <si>
    <t xml:space="preserve">CPL Target Operativo</t>
  </si>
  <si>
    <t xml:space="preserve">Budget mensile €1.500 → Lead</t>
  </si>
  <si>
    <t xml:space="preserve">Di cui clienti L3+</t>
  </si>
  <si>
    <t xml:space="preserve">Revenue Anno 1 (su €1.500)</t>
  </si>
  <si>
    <t xml:space="preserve">📌 DECISIONE CHIAVE</t>
  </si>
  <si>
    <t xml:space="preserve">Se il CPL del test 100 click risulta &lt; CPL Target Operativo → SCALA</t>
  </si>
  <si>
    <t xml:space="preserve">Se il CPL è tra Target e Break-Even → OTTIMIZZA poi scala</t>
  </si>
  <si>
    <t xml:space="preserve">Se il CPL &gt; Break-Even Anno 1 → STOP e rivedi funnel</t>
  </si>
  <si>
    <t xml:space="preserve">MATRICE DECISIONALE CPL (scenario realistico)</t>
  </si>
  <si>
    <t xml:space="preserve">CPL Ottenuto</t>
  </si>
  <si>
    <t xml:space="preserve">Zona</t>
  </si>
  <si>
    <t xml:space="preserve">Azione</t>
  </si>
  <si>
    <t xml:space="preserve">Priorità</t>
  </si>
  <si>
    <t xml:space="preserve">&lt; €3</t>
  </si>
  <si>
    <t xml:space="preserve">🟢 Eccellente</t>
  </si>
  <si>
    <t xml:space="preserve">Scala aggressivo 3x budget</t>
  </si>
  <si>
    <t xml:space="preserve">SCALA ORA</t>
  </si>
  <si>
    <t xml:space="preserve">€3 - €5</t>
  </si>
  <si>
    <t xml:space="preserve">🟢 Buono</t>
  </si>
  <si>
    <t xml:space="preserve">Scala graduale 2x budget</t>
  </si>
  <si>
    <t xml:space="preserve">SCALA</t>
  </si>
  <si>
    <t xml:space="preserve">€5 - €7</t>
  </si>
  <si>
    <t xml:space="preserve">🟡 Accettabile</t>
  </si>
  <si>
    <t xml:space="preserve">Ottimizza copy/targeting, poi scala</t>
  </si>
  <si>
    <t xml:space="preserve">OTTIMIZZA</t>
  </si>
  <si>
    <t xml:space="preserve">€7 - €10</t>
  </si>
  <si>
    <t xml:space="preserve">🟠 Attenzione</t>
  </si>
  <si>
    <t xml:space="preserve">A/B test intensivo, non scalare</t>
  </si>
  <si>
    <t xml:space="preserve">TEST</t>
  </si>
  <si>
    <t xml:space="preserve">&gt; €10</t>
  </si>
  <si>
    <t xml:space="preserve">🔴 Critico</t>
  </si>
  <si>
    <t xml:space="preserve">Pausa, rivedi funnel completo</t>
  </si>
  <si>
    <t xml:space="preserve">STOP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</si>
</sst>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€#,##0"/>
    <numFmt numFmtId="166" formatCode="0.0%"/>
    <numFmt numFmtId="167" formatCode="\€#,##0.00"/>
    <numFmt numFmtId="168" formatCode="#,##0"/>
    <numFmt numFmtId="169" formatCode="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006100"/>
      <name val="Arial"/>
      <family val="0"/>
      <charset val="1"/>
    </font>
    <font>
      <b val="true"/>
      <sz val="14"/>
      <color rgb="FF006100"/>
      <name val="Arial"/>
      <family val="0"/>
      <charset val="1"/>
    </font>
    <font>
      <b val="true"/>
      <sz val="12"/>
      <color rgb="FF00610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2"/>
      <color rgb="FF9C0006"/>
      <name val="Arial"/>
      <family val="0"/>
      <charset val="1"/>
    </font>
    <font>
      <b val="true"/>
      <sz val="13"/>
      <color rgb="FF9C0006"/>
      <name val="Arial"/>
      <family val="0"/>
      <charset val="1"/>
    </font>
    <font>
      <b val="true"/>
      <sz val="1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6EFCE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CD5B4"/>
      </patternFill>
    </fill>
    <fill>
      <patternFill patternType="solid">
        <fgColor rgb="FFFFC7CE"/>
        <bgColor rgb="FFFCD5B4"/>
      </patternFill>
    </fill>
    <fill>
      <patternFill patternType="solid">
        <fgColor rgb="FFFCD5B4"/>
        <bgColor rgb="FFFFC7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CD5B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18"/>
    <col collapsed="false" customWidth="true" hidden="false" outlineLevel="0" max="5" min="5" style="1" width="22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4" customFormat="false" ht="15.75" hidden="false" customHeight="true" outlineLevel="0" collapsed="false">
      <c r="A4" s="4" t="s">
        <v>2</v>
      </c>
      <c r="B4" s="4"/>
      <c r="C4" s="4"/>
      <c r="D4" s="4"/>
      <c r="E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5" hidden="false" customHeight="true" outlineLevel="0" collapsed="false">
      <c r="A6" s="6" t="s">
        <v>8</v>
      </c>
      <c r="B6" s="7" t="n">
        <v>14</v>
      </c>
      <c r="C6" s="8" t="n">
        <v>0.1</v>
      </c>
      <c r="D6" s="8" t="n">
        <v>0.15</v>
      </c>
      <c r="E6" s="8" t="n">
        <v>0.2</v>
      </c>
    </row>
    <row r="7" customFormat="false" ht="15" hidden="false" customHeight="true" outlineLevel="0" collapsed="false">
      <c r="A7" s="6" t="s">
        <v>9</v>
      </c>
      <c r="B7" s="7" t="n">
        <v>149</v>
      </c>
      <c r="C7" s="8" t="n">
        <v>0.05</v>
      </c>
      <c r="D7" s="8" t="n">
        <v>0.1</v>
      </c>
      <c r="E7" s="8" t="n">
        <v>0.15</v>
      </c>
    </row>
    <row r="8" customFormat="false" ht="15" hidden="false" customHeight="true" outlineLevel="0" collapsed="false">
      <c r="A8" s="6" t="s">
        <v>10</v>
      </c>
      <c r="B8" s="7" t="n">
        <v>490</v>
      </c>
      <c r="C8" s="8" t="n">
        <v>0.1</v>
      </c>
      <c r="D8" s="8" t="n">
        <v>0.2</v>
      </c>
      <c r="E8" s="8" t="n">
        <v>0.25</v>
      </c>
    </row>
    <row r="9" customFormat="false" ht="15" hidden="false" customHeight="true" outlineLevel="0" collapsed="false">
      <c r="A9" s="6" t="s">
        <v>11</v>
      </c>
      <c r="B9" s="7" t="n">
        <v>1200</v>
      </c>
      <c r="C9" s="8" t="n">
        <v>0.15</v>
      </c>
      <c r="D9" s="8" t="n">
        <v>0.3</v>
      </c>
      <c r="E9" s="8" t="n">
        <v>0.35</v>
      </c>
    </row>
    <row r="10" customFormat="false" ht="15" hidden="false" customHeight="true" outlineLevel="0" collapsed="false">
      <c r="A10" s="9" t="s">
        <v>12</v>
      </c>
    </row>
    <row r="11" customFormat="false" ht="15" hidden="false" customHeight="true" outlineLevel="0" collapsed="false">
      <c r="A11" s="9" t="s">
        <v>13</v>
      </c>
    </row>
    <row r="13" customFormat="false" ht="15.75" hidden="false" customHeight="true" outlineLevel="0" collapsed="false">
      <c r="A13" s="4" t="s">
        <v>14</v>
      </c>
      <c r="B13" s="4"/>
      <c r="C13" s="4"/>
      <c r="D13" s="4"/>
      <c r="E13" s="4"/>
    </row>
    <row r="14" customFormat="false" ht="15" hidden="false" customHeight="true" outlineLevel="0" collapsed="false">
      <c r="A14" s="5" t="s">
        <v>15</v>
      </c>
      <c r="B14" s="5" t="s">
        <v>16</v>
      </c>
      <c r="C14" s="5" t="s">
        <v>17</v>
      </c>
      <c r="D14" s="5" t="s">
        <v>18</v>
      </c>
      <c r="E14" s="5" t="s">
        <v>19</v>
      </c>
    </row>
    <row r="15" customFormat="false" ht="15" hidden="false" customHeight="true" outlineLevel="0" collapsed="false">
      <c r="A15" s="6" t="s">
        <v>20</v>
      </c>
      <c r="B15" s="10" t="s">
        <v>21</v>
      </c>
      <c r="C15" s="11" t="n">
        <f aca="false">C6*B6</f>
        <v>1.4</v>
      </c>
      <c r="D15" s="11" t="n">
        <f aca="false">D6*B6</f>
        <v>2.1</v>
      </c>
      <c r="E15" s="11" t="n">
        <f aca="false">E6*B6</f>
        <v>2.8</v>
      </c>
    </row>
    <row r="16" customFormat="false" ht="15" hidden="false" customHeight="true" outlineLevel="0" collapsed="false">
      <c r="A16" s="6" t="s">
        <v>22</v>
      </c>
      <c r="B16" s="10" t="s">
        <v>23</v>
      </c>
      <c r="C16" s="11" t="n">
        <f aca="false">C6*C7*B7</f>
        <v>0.745</v>
      </c>
      <c r="D16" s="11" t="n">
        <f aca="false">D6*D7*B7</f>
        <v>2.235</v>
      </c>
      <c r="E16" s="11" t="n">
        <f aca="false">E6*E7*B7</f>
        <v>4.47</v>
      </c>
    </row>
    <row r="17" customFormat="false" ht="15" hidden="false" customHeight="true" outlineLevel="0" collapsed="false">
      <c r="A17" s="6" t="s">
        <v>24</v>
      </c>
      <c r="B17" s="10" t="s">
        <v>25</v>
      </c>
      <c r="C17" s="11" t="n">
        <f aca="false">C6*C7*C8*B8</f>
        <v>0.245</v>
      </c>
      <c r="D17" s="11" t="n">
        <f aca="false">D6*D7*D8*B8</f>
        <v>1.47</v>
      </c>
      <c r="E17" s="11" t="n">
        <f aca="false">E6*E7*E8*B8</f>
        <v>3.675</v>
      </c>
    </row>
    <row r="18" customFormat="false" ht="15" hidden="false" customHeight="true" outlineLevel="0" collapsed="false">
      <c r="A18" s="6" t="s">
        <v>26</v>
      </c>
      <c r="B18" s="10" t="s">
        <v>27</v>
      </c>
      <c r="C18" s="11" t="n">
        <f aca="false">C6*C7*C8*C9*B9</f>
        <v>0.09</v>
      </c>
      <c r="D18" s="11" t="n">
        <f aca="false">D6*D7*D8*D9*B9</f>
        <v>1.08</v>
      </c>
      <c r="E18" s="11" t="n">
        <f aca="false">E6*E7*E8*E9*B9</f>
        <v>3.15</v>
      </c>
    </row>
    <row r="20" customFormat="false" ht="15" hidden="false" customHeight="true" outlineLevel="0" collapsed="false">
      <c r="A20" s="12" t="s">
        <v>28</v>
      </c>
      <c r="B20" s="13" t="s">
        <v>29</v>
      </c>
      <c r="C20" s="14" t="n">
        <f aca="false">SUM(C15:C18)</f>
        <v>2.48</v>
      </c>
      <c r="D20" s="14" t="n">
        <f aca="false">SUM(D15:D18)</f>
        <v>6.885</v>
      </c>
      <c r="E20" s="14" t="n">
        <f aca="false">SUM(E15:E18)</f>
        <v>14.095</v>
      </c>
    </row>
    <row r="22" customFormat="false" ht="15.75" hidden="false" customHeight="true" outlineLevel="0" collapsed="false">
      <c r="A22" s="4" t="s">
        <v>30</v>
      </c>
      <c r="B22" s="4"/>
      <c r="C22" s="4"/>
      <c r="D22" s="4"/>
      <c r="E22" s="4"/>
    </row>
    <row r="23" customFormat="false" ht="15" hidden="false" customHeight="true" outlineLevel="0" collapsed="false">
      <c r="A23" s="15" t="s">
        <v>31</v>
      </c>
      <c r="B23" s="16" t="n">
        <v>0.6</v>
      </c>
    </row>
    <row r="24" customFormat="false" ht="15" hidden="false" customHeight="true" outlineLevel="0" collapsed="false">
      <c r="A24" s="15" t="s">
        <v>32</v>
      </c>
      <c r="B24" s="16" t="n">
        <v>0.4</v>
      </c>
    </row>
    <row r="25" customFormat="false" ht="15" hidden="false" customHeight="true" outlineLevel="0" collapsed="false">
      <c r="A25" s="15" t="s">
        <v>33</v>
      </c>
      <c r="B25" s="16" t="n">
        <v>0.7</v>
      </c>
    </row>
    <row r="26" customFormat="false" ht="15" hidden="false" customHeight="true" outlineLevel="0" collapsed="false">
      <c r="A26" s="15" t="s">
        <v>34</v>
      </c>
      <c r="B26" s="16" t="n">
        <v>0.5</v>
      </c>
    </row>
    <row r="28" customFormat="false" ht="15" hidden="false" customHeight="true" outlineLevel="0" collapsed="false">
      <c r="A28" s="17" t="s">
        <v>35</v>
      </c>
      <c r="C28" s="11" t="n">
        <f aca="false">C16*B23 + C17*B25</f>
        <v>0.6185</v>
      </c>
      <c r="D28" s="11" t="n">
        <f aca="false">D16*B23 + D17*B25</f>
        <v>2.37</v>
      </c>
      <c r="E28" s="11" t="n">
        <f aca="false">E16*B23 + E17*B25</f>
        <v>5.2545</v>
      </c>
    </row>
    <row r="29" customFormat="false" ht="15" hidden="false" customHeight="true" outlineLevel="0" collapsed="false">
      <c r="A29" s="17" t="s">
        <v>36</v>
      </c>
      <c r="C29" s="11" t="n">
        <f aca="false">C16*B24 + C17*B26</f>
        <v>0.4205</v>
      </c>
      <c r="D29" s="11" t="n">
        <f aca="false">D16*B24 + D17*B26</f>
        <v>1.629</v>
      </c>
      <c r="E29" s="11" t="n">
        <f aca="false">E16*B24 + E17*B26</f>
        <v>3.6255</v>
      </c>
    </row>
    <row r="31" customFormat="false" ht="17.25" hidden="false" customHeight="true" outlineLevel="0" collapsed="false">
      <c r="A31" s="18" t="s">
        <v>37</v>
      </c>
      <c r="B31" s="19"/>
      <c r="C31" s="20" t="n">
        <f aca="false">C20+C28+C29</f>
        <v>3.519</v>
      </c>
      <c r="D31" s="20" t="n">
        <f aca="false">D20+D28+D29</f>
        <v>10.884</v>
      </c>
      <c r="E31" s="20" t="n">
        <f aca="false">E20+E28+E29</f>
        <v>22.975</v>
      </c>
    </row>
    <row r="33" customFormat="false" ht="15.75" hidden="false" customHeight="true" outlineLevel="0" collapsed="false">
      <c r="A33" s="4" t="s">
        <v>38</v>
      </c>
      <c r="B33" s="4"/>
      <c r="C33" s="4"/>
      <c r="D33" s="4"/>
      <c r="E33" s="4"/>
    </row>
    <row r="34" customFormat="false" ht="15" hidden="false" customHeight="true" outlineLevel="0" collapsed="false">
      <c r="A34" s="17" t="s">
        <v>39</v>
      </c>
      <c r="B34" s="21" t="s">
        <v>40</v>
      </c>
      <c r="C34" s="22" t="n">
        <f aca="false">C20</f>
        <v>2.48</v>
      </c>
      <c r="D34" s="22" t="n">
        <f aca="false">D20</f>
        <v>6.885</v>
      </c>
      <c r="E34" s="22" t="n">
        <f aca="false">E20</f>
        <v>14.095</v>
      </c>
    </row>
    <row r="35" customFormat="false" ht="15" hidden="false" customHeight="true" outlineLevel="0" collapsed="false">
      <c r="A35" s="17" t="s">
        <v>41</v>
      </c>
      <c r="B35" s="21" t="s">
        <v>42</v>
      </c>
      <c r="C35" s="22" t="n">
        <f aca="false">C31</f>
        <v>3.519</v>
      </c>
      <c r="D35" s="22" t="n">
        <f aca="false">D31</f>
        <v>10.884</v>
      </c>
      <c r="E35" s="22" t="n">
        <f aca="false">E31</f>
        <v>22.975</v>
      </c>
    </row>
    <row r="37" customFormat="false" ht="15.75" hidden="false" customHeight="true" outlineLevel="0" collapsed="false">
      <c r="A37" s="23" t="s">
        <v>43</v>
      </c>
      <c r="B37" s="24" t="s">
        <v>44</v>
      </c>
      <c r="C37" s="25" t="n">
        <f aca="false">C34*0.5</f>
        <v>1.24</v>
      </c>
      <c r="D37" s="25" t="n">
        <f aca="false">D34*0.5</f>
        <v>3.4425</v>
      </c>
      <c r="E37" s="25" t="n">
        <f aca="false">E34*0.5</f>
        <v>7.0475</v>
      </c>
    </row>
  </sheetData>
  <mergeCells count="6">
    <mergeCell ref="A1:E1"/>
    <mergeCell ref="A2:E2"/>
    <mergeCell ref="A4:E4"/>
    <mergeCell ref="A13:E13"/>
    <mergeCell ref="A22:E22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18"/>
    <col collapsed="false" customWidth="true" hidden="false" outlineLevel="0" max="5" min="5" style="1" width="22"/>
  </cols>
  <sheetData>
    <row r="1" customFormat="false" ht="17.25" hidden="false" customHeight="true" outlineLevel="0" collapsed="false">
      <c r="A1" s="26" t="s">
        <v>45</v>
      </c>
      <c r="B1" s="26"/>
      <c r="C1" s="26"/>
      <c r="D1" s="26"/>
      <c r="E1" s="26"/>
    </row>
    <row r="3" customFormat="false" ht="15" hidden="false" customHeight="true" outlineLevel="0" collapsed="false">
      <c r="A3" s="17" t="s">
        <v>46</v>
      </c>
      <c r="B3" s="27" t="n">
        <v>1000</v>
      </c>
    </row>
    <row r="4" customFormat="false" ht="15" hidden="false" customHeight="true" outlineLevel="0" collapsed="false">
      <c r="A4" s="17" t="s">
        <v>47</v>
      </c>
      <c r="B4" s="28" t="n">
        <v>5</v>
      </c>
    </row>
    <row r="5" customFormat="false" ht="15" hidden="false" customHeight="true" outlineLevel="0" collapsed="false">
      <c r="A5" s="29" t="s">
        <v>48</v>
      </c>
      <c r="B5" s="30" t="n">
        <f aca="false">B3*B4</f>
        <v>5000</v>
      </c>
    </row>
    <row r="7" customFormat="false" ht="15" hidden="false" customHeight="true" outlineLevel="0" collapsed="false">
      <c r="A7" s="5" t="s">
        <v>49</v>
      </c>
      <c r="B7" s="5" t="s">
        <v>50</v>
      </c>
      <c r="C7" s="5" t="s">
        <v>51</v>
      </c>
      <c r="D7" s="5" t="s">
        <v>52</v>
      </c>
      <c r="E7" s="5" t="s">
        <v>53</v>
      </c>
    </row>
    <row r="8" customFormat="false" ht="15" hidden="false" customHeight="true" outlineLevel="0" collapsed="false">
      <c r="A8" s="6" t="s">
        <v>54</v>
      </c>
      <c r="B8" s="31" t="n">
        <f aca="false">B3</f>
        <v>1000</v>
      </c>
      <c r="C8" s="32" t="s">
        <v>55</v>
      </c>
      <c r="D8" s="7" t="n">
        <v>0</v>
      </c>
      <c r="E8" s="33" t="n">
        <v>0</v>
      </c>
    </row>
    <row r="9" customFormat="false" ht="15" hidden="false" customHeight="true" outlineLevel="0" collapsed="false">
      <c r="A9" s="6" t="s">
        <v>56</v>
      </c>
      <c r="B9" s="31" t="n">
        <f aca="false">B8*C9</f>
        <v>150</v>
      </c>
      <c r="C9" s="8" t="n">
        <v>0.15</v>
      </c>
      <c r="D9" s="7" t="n">
        <v>14</v>
      </c>
      <c r="E9" s="33" t="n">
        <f aca="false">B9*D9</f>
        <v>2100</v>
      </c>
    </row>
    <row r="10" customFormat="false" ht="15" hidden="false" customHeight="true" outlineLevel="0" collapsed="false">
      <c r="A10" s="6" t="s">
        <v>57</v>
      </c>
      <c r="B10" s="31" t="n">
        <f aca="false">B9*C10</f>
        <v>15</v>
      </c>
      <c r="C10" s="8" t="n">
        <v>0.1</v>
      </c>
      <c r="D10" s="7" t="n">
        <v>149</v>
      </c>
      <c r="E10" s="33" t="n">
        <f aca="false">B10*D10</f>
        <v>2235</v>
      </c>
    </row>
    <row r="11" customFormat="false" ht="15" hidden="false" customHeight="true" outlineLevel="0" collapsed="false">
      <c r="A11" s="6" t="s">
        <v>58</v>
      </c>
      <c r="B11" s="31" t="n">
        <f aca="false">B10*C11</f>
        <v>3</v>
      </c>
      <c r="C11" s="8" t="n">
        <v>0.2</v>
      </c>
      <c r="D11" s="7" t="n">
        <v>490</v>
      </c>
      <c r="E11" s="33" t="n">
        <f aca="false">B11*D11</f>
        <v>1470</v>
      </c>
    </row>
    <row r="12" customFormat="false" ht="15" hidden="false" customHeight="true" outlineLevel="0" collapsed="false">
      <c r="A12" s="6" t="s">
        <v>59</v>
      </c>
      <c r="B12" s="31" t="n">
        <f aca="false">B11*C12</f>
        <v>0.9</v>
      </c>
      <c r="C12" s="8" t="n">
        <v>0.3</v>
      </c>
      <c r="D12" s="7" t="n">
        <v>1200</v>
      </c>
      <c r="E12" s="33" t="n">
        <f aca="false">B12*D12</f>
        <v>1080</v>
      </c>
    </row>
    <row r="14" customFormat="false" ht="15.75" hidden="false" customHeight="true" outlineLevel="0" collapsed="false">
      <c r="A14" s="23" t="s">
        <v>60</v>
      </c>
      <c r="B14" s="19"/>
      <c r="C14" s="19"/>
      <c r="D14" s="19"/>
      <c r="E14" s="34" t="n">
        <f aca="false">SUM(E8:E12)</f>
        <v>6885</v>
      </c>
    </row>
    <row r="15" customFormat="false" ht="15.75" hidden="false" customHeight="true" outlineLevel="0" collapsed="false">
      <c r="A15" s="35" t="s">
        <v>61</v>
      </c>
      <c r="B15" s="36"/>
      <c r="C15" s="36"/>
      <c r="D15" s="36"/>
      <c r="E15" s="37" t="n">
        <f aca="false">B5</f>
        <v>5000</v>
      </c>
    </row>
    <row r="16" customFormat="false" ht="17.25" hidden="false" customHeight="true" outlineLevel="0" collapsed="false">
      <c r="A16" s="38" t="s">
        <v>62</v>
      </c>
      <c r="B16" s="39"/>
      <c r="C16" s="39"/>
      <c r="D16" s="39"/>
      <c r="E16" s="40" t="n">
        <f aca="false">E14-E15</f>
        <v>1885</v>
      </c>
    </row>
    <row r="17" customFormat="false" ht="17.25" hidden="false" customHeight="true" outlineLevel="0" collapsed="false">
      <c r="A17" s="41" t="s">
        <v>63</v>
      </c>
      <c r="B17" s="32"/>
      <c r="C17" s="32"/>
      <c r="D17" s="32"/>
      <c r="E17" s="42" t="n">
        <f aca="false">IF(E15=0,0,(E14-E15)/E15)</f>
        <v>0.377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20"/>
  </cols>
  <sheetData>
    <row r="1" customFormat="false" ht="17.25" hidden="false" customHeight="true" outlineLevel="0" collapsed="false">
      <c r="A1" s="26" t="s">
        <v>64</v>
      </c>
      <c r="B1" s="26"/>
      <c r="C1" s="26"/>
      <c r="D1" s="26"/>
    </row>
    <row r="3" customFormat="false" ht="15" hidden="false" customHeight="true" outlineLevel="0" collapsed="false">
      <c r="A3" s="5" t="s">
        <v>65</v>
      </c>
      <c r="B3" s="5" t="s">
        <v>66</v>
      </c>
      <c r="C3" s="5" t="s">
        <v>67</v>
      </c>
      <c r="D3" s="5" t="s">
        <v>68</v>
      </c>
    </row>
    <row r="4" customFormat="false" ht="15" hidden="false" customHeight="true" outlineLevel="0" collapsed="false">
      <c r="A4" s="6" t="s">
        <v>69</v>
      </c>
      <c r="B4" s="11" t="n">
        <f aca="false">'LTV per Lead'!C20</f>
        <v>2.48</v>
      </c>
      <c r="C4" s="11" t="n">
        <f aca="false">'LTV per Lead'!D20</f>
        <v>6.885</v>
      </c>
      <c r="D4" s="11" t="n">
        <f aca="false">'LTV per Lead'!E20</f>
        <v>14.095</v>
      </c>
    </row>
    <row r="5" customFormat="false" ht="15" hidden="false" customHeight="true" outlineLevel="0" collapsed="false">
      <c r="A5" s="6" t="s">
        <v>70</v>
      </c>
      <c r="B5" s="11" t="n">
        <f aca="false">'LTV per Lead'!C31</f>
        <v>3.519</v>
      </c>
      <c r="C5" s="11" t="n">
        <f aca="false">'LTV per Lead'!D31</f>
        <v>10.884</v>
      </c>
      <c r="D5" s="11" t="n">
        <f aca="false">'LTV per Lead'!E31</f>
        <v>22.975</v>
      </c>
    </row>
    <row r="6" customFormat="false" ht="15" hidden="false" customHeight="true" outlineLevel="0" collapsed="false">
      <c r="A6" s="6" t="s">
        <v>39</v>
      </c>
      <c r="B6" s="11" t="n">
        <f aca="false">'LTV per Lead'!C34</f>
        <v>2.48</v>
      </c>
      <c r="C6" s="11" t="n">
        <f aca="false">'LTV per Lead'!D34</f>
        <v>6.885</v>
      </c>
      <c r="D6" s="11" t="n">
        <f aca="false">'LTV per Lead'!E34</f>
        <v>14.095</v>
      </c>
    </row>
    <row r="7" customFormat="false" ht="15" hidden="false" customHeight="true" outlineLevel="0" collapsed="false">
      <c r="A7" s="6" t="s">
        <v>71</v>
      </c>
      <c r="B7" s="11" t="n">
        <f aca="false">'LTV per Lead'!C37</f>
        <v>1.24</v>
      </c>
      <c r="C7" s="11" t="n">
        <f aca="false">'LTV per Lead'!D37</f>
        <v>3.4425</v>
      </c>
      <c r="D7" s="11" t="n">
        <f aca="false">'LTV per Lead'!E37</f>
        <v>7.0475</v>
      </c>
    </row>
    <row r="8" customFormat="false" ht="15" hidden="false" customHeight="true" outlineLevel="0" collapsed="false">
      <c r="A8" s="6" t="s">
        <v>72</v>
      </c>
      <c r="B8" s="31" t="n">
        <f aca="false">1500/8</f>
        <v>187.5</v>
      </c>
      <c r="C8" s="31" t="n">
        <f aca="false">1500/5</f>
        <v>300</v>
      </c>
      <c r="D8" s="31" t="n">
        <f aca="false">1500/4</f>
        <v>375</v>
      </c>
    </row>
    <row r="9" customFormat="false" ht="15" hidden="false" customHeight="true" outlineLevel="0" collapsed="false">
      <c r="A9" s="6" t="s">
        <v>73</v>
      </c>
      <c r="B9" s="31" t="n">
        <f aca="false">B7*0.005</f>
        <v>0.0062</v>
      </c>
      <c r="C9" s="31" t="n">
        <f aca="false">C7*0.015</f>
        <v>0.0516375</v>
      </c>
      <c r="D9" s="31" t="n">
        <f aca="false">D7*0.03</f>
        <v>0.211425</v>
      </c>
    </row>
    <row r="10" customFormat="false" ht="15" hidden="false" customHeight="true" outlineLevel="0" collapsed="false">
      <c r="A10" s="6" t="s">
        <v>74</v>
      </c>
      <c r="B10" s="33" t="n">
        <f aca="false">B8*149+B7*0.1*14</f>
        <v>27939.236</v>
      </c>
      <c r="C10" s="33" t="n">
        <f aca="false">C8*149+C7*0.15*14</f>
        <v>44707.22925</v>
      </c>
      <c r="D10" s="33" t="n">
        <f aca="false">D8*149+D7*0.2*14</f>
        <v>55894.733</v>
      </c>
    </row>
    <row r="12" customFormat="false" ht="15.75" hidden="false" customHeight="true" outlineLevel="0" collapsed="false">
      <c r="A12" s="4" t="s">
        <v>75</v>
      </c>
      <c r="B12" s="4"/>
      <c r="C12" s="4"/>
      <c r="D12" s="4"/>
    </row>
    <row r="13" customFormat="false" ht="15" hidden="false" customHeight="true" outlineLevel="0" collapsed="false">
      <c r="A13" s="43" t="s">
        <v>76</v>
      </c>
      <c r="B13" s="43"/>
      <c r="C13" s="43"/>
      <c r="D13" s="43"/>
    </row>
    <row r="14" customFormat="false" ht="15" hidden="false" customHeight="true" outlineLevel="0" collapsed="false">
      <c r="A14" s="43" t="s">
        <v>77</v>
      </c>
      <c r="B14" s="43"/>
      <c r="C14" s="43"/>
      <c r="D14" s="43"/>
    </row>
    <row r="15" customFormat="false" ht="15" hidden="false" customHeight="true" outlineLevel="0" collapsed="false">
      <c r="A15" s="43" t="s">
        <v>78</v>
      </c>
      <c r="B15" s="43"/>
      <c r="C15" s="43"/>
      <c r="D15" s="43"/>
    </row>
    <row r="17" customFormat="false" ht="15.75" hidden="false" customHeight="true" outlineLevel="0" collapsed="false">
      <c r="A17" s="4" t="s">
        <v>79</v>
      </c>
      <c r="B17" s="4"/>
      <c r="C17" s="4"/>
      <c r="D17" s="4"/>
    </row>
    <row r="18" customFormat="false" ht="15" hidden="false" customHeight="true" outlineLevel="0" collapsed="false">
      <c r="A18" s="5" t="s">
        <v>80</v>
      </c>
      <c r="B18" s="5" t="s">
        <v>81</v>
      </c>
      <c r="C18" s="5" t="s">
        <v>82</v>
      </c>
      <c r="D18" s="5" t="s">
        <v>83</v>
      </c>
    </row>
    <row r="19" customFormat="false" ht="15" hidden="false" customHeight="true" outlineLevel="0" collapsed="false">
      <c r="A19" s="44" t="s">
        <v>84</v>
      </c>
      <c r="B19" s="44" t="s">
        <v>85</v>
      </c>
      <c r="C19" s="44" t="s">
        <v>86</v>
      </c>
      <c r="D19" s="44" t="s">
        <v>87</v>
      </c>
    </row>
    <row r="20" customFormat="false" ht="15" hidden="false" customHeight="true" outlineLevel="0" collapsed="false">
      <c r="A20" s="44" t="s">
        <v>88</v>
      </c>
      <c r="B20" s="44" t="s">
        <v>89</v>
      </c>
      <c r="C20" s="44" t="s">
        <v>90</v>
      </c>
      <c r="D20" s="44" t="s">
        <v>91</v>
      </c>
    </row>
    <row r="21" customFormat="false" ht="15" hidden="false" customHeight="true" outlineLevel="0" collapsed="false">
      <c r="A21" s="45" t="s">
        <v>92</v>
      </c>
      <c r="B21" s="45" t="s">
        <v>93</v>
      </c>
      <c r="C21" s="45" t="s">
        <v>94</v>
      </c>
      <c r="D21" s="45" t="s">
        <v>95</v>
      </c>
    </row>
    <row r="22" customFormat="false" ht="15" hidden="false" customHeight="true" outlineLevel="0" collapsed="false">
      <c r="A22" s="46" t="s">
        <v>96</v>
      </c>
      <c r="B22" s="46" t="s">
        <v>97</v>
      </c>
      <c r="C22" s="46" t="s">
        <v>98</v>
      </c>
      <c r="D22" s="46" t="s">
        <v>99</v>
      </c>
    </row>
    <row r="23" customFormat="false" ht="15" hidden="false" customHeight="true" outlineLevel="0" collapsed="false">
      <c r="A23" s="47" t="s">
        <v>100</v>
      </c>
      <c r="B23" s="47" t="s">
        <v>101</v>
      </c>
      <c r="C23" s="47" t="s">
        <v>102</v>
      </c>
      <c r="D23" s="47" t="s">
        <v>103</v>
      </c>
    </row>
  </sheetData>
  <mergeCells count="6">
    <mergeCell ref="A1:D1"/>
    <mergeCell ref="A12:D12"/>
    <mergeCell ref="A13:D13"/>
    <mergeCell ref="A14:D14"/>
    <mergeCell ref="A15:D15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2026-02-05T09:15:06Z</dcterms:created>
  <dc:creator>openpyxl</dc:creator>
  <dc:description/>
  <dc:language>en-US</dc:language>
  <cp:lastModifiedBy/>
  <dcterms:modified xsi:type="dcterms:W3CDTF">2026-02-05T09:15:22Z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